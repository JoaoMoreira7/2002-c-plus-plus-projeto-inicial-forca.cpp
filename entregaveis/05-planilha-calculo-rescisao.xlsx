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Parametros" sheetId="2" state="visible" r:id="rId2"/>
    <sheet name="Calculo" sheetId="3" state="visible" r:id="rId3"/>
    <sheet name="Mem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"/>
    <numFmt numFmtId="166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0B2A3A"/>
      <sz val="12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onsolas"/>
      <color rgb="001A1A1A"/>
      <sz val="10"/>
    </font>
    <font>
      <name val="Calibri"/>
      <i val="1"/>
      <color rgb="005A6B73"/>
      <sz val="8"/>
    </font>
    <font>
      <name val="Consolas"/>
      <b val="1"/>
      <color rgb="000B2A3A"/>
      <sz val="11"/>
    </font>
    <font>
      <name val="Consolas"/>
      <b val="1"/>
      <color rgb="00FFFFFF"/>
      <sz val="11"/>
    </font>
    <font>
      <name val="Calibri"/>
      <i val="1"/>
      <color rgb="00FFFFFF"/>
      <sz val="8"/>
    </font>
    <font>
      <name val="Calibri"/>
      <b val="1"/>
      <color rgb="00FFFFFF"/>
      <sz val="13"/>
    </font>
    <font>
      <name val="Consolas"/>
      <b val="1"/>
      <color rgb="001FA8A6"/>
      <sz val="13"/>
    </font>
  </fonts>
  <fills count="8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FDE7E9"/>
      </patternFill>
    </fill>
    <fill>
      <patternFill patternType="solid">
        <fgColor rgb="00F5F7F8"/>
      </patternFill>
    </fill>
    <fill>
      <patternFill patternType="solid">
        <fgColor rgb="000B2A3A"/>
      </patternFill>
    </fill>
    <fill>
      <patternFill patternType="solid">
        <fgColor rgb="0011507A"/>
      </patternFill>
    </fill>
    <fill>
      <patternFill patternType="solid">
        <fgColor rgb="001FA8A6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3" fillId="4" borderId="1" pivotButton="0" quotePrefix="0" xfId="0"/>
    <xf numFmtId="0" fontId="6" fillId="2" borderId="1" applyAlignment="1" applyProtection="1" pivotButton="0" quotePrefix="0" xfId="0">
      <alignment horizontal="right"/>
      <protection locked="0" hidden="0"/>
    </xf>
    <xf numFmtId="164" fontId="6" fillId="2" borderId="1" applyAlignment="1" applyProtection="1" pivotButton="0" quotePrefix="0" xfId="0">
      <alignment horizontal="right"/>
      <protection locked="0" hidden="0"/>
    </xf>
    <xf numFmtId="0" fontId="7" fillId="4" borderId="1" pivotButton="0" quotePrefix="0" xfId="0"/>
    <xf numFmtId="165" fontId="6" fillId="2" borderId="1" applyAlignment="1" applyProtection="1" pivotButton="0" quotePrefix="0" xfId="0">
      <alignment horizontal="right"/>
      <protection locked="0" hidden="0"/>
    </xf>
    <xf numFmtId="165" fontId="8" fillId="4" borderId="1" applyAlignment="1" pivotButton="0" quotePrefix="0" xfId="0">
      <alignment horizontal="right"/>
    </xf>
    <xf numFmtId="1" fontId="6" fillId="2" borderId="1" applyAlignment="1" applyProtection="1" pivotButton="0" quotePrefix="0" xfId="0">
      <alignment horizontal="right"/>
      <protection locked="0" hidden="0"/>
    </xf>
    <xf numFmtId="10" fontId="6" fillId="3" borderId="1" applyAlignment="1" applyProtection="1" pivotButton="0" quotePrefix="0" xfId="0">
      <alignment horizontal="right"/>
      <protection locked="0" hidden="0"/>
    </xf>
    <xf numFmtId="165" fontId="6" fillId="3" borderId="1" applyAlignment="1" applyProtection="1" pivotButton="0" quotePrefix="0" xfId="0">
      <alignment horizontal="right"/>
      <protection locked="0" hidden="0"/>
    </xf>
    <xf numFmtId="166" fontId="6" fillId="3" borderId="1" applyAlignment="1" applyProtection="1" pivotButton="0" quotePrefix="0" xfId="0">
      <alignment horizontal="right"/>
      <protection locked="0" hidden="0"/>
    </xf>
    <xf numFmtId="0" fontId="5" fillId="6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165" fontId="6" fillId="4" borderId="1" applyAlignment="1" pivotButton="0" quotePrefix="0" xfId="0">
      <alignment horizontal="right"/>
    </xf>
    <xf numFmtId="0" fontId="3" fillId="7" borderId="1" pivotButton="0" quotePrefix="0" xfId="0"/>
    <xf numFmtId="165" fontId="8" fillId="7" borderId="1" applyAlignment="1" pivotButton="0" quotePrefix="0" xfId="0">
      <alignment horizontal="right"/>
    </xf>
    <xf numFmtId="0" fontId="7" fillId="7" borderId="1" pivotButton="0" quotePrefix="0" xfId="0"/>
    <xf numFmtId="0" fontId="5" fillId="6" borderId="1" pivotButton="0" quotePrefix="0" xfId="0"/>
    <xf numFmtId="165" fontId="9" fillId="6" borderId="1" applyAlignment="1" pivotButton="0" quotePrefix="0" xfId="0">
      <alignment horizontal="right"/>
    </xf>
    <xf numFmtId="0" fontId="10" fillId="6" borderId="1" pivotButton="0" quotePrefix="0" xfId="0"/>
    <xf numFmtId="0" fontId="11" fillId="5" borderId="1" pivotButton="0" quotePrefix="0" xfId="0"/>
    <xf numFmtId="165" fontId="12" fillId="5" borderId="1" applyAlignment="1" pivotButton="0" quotePrefix="0" xfId="0">
      <alignment horizontal="right"/>
    </xf>
    <xf numFmtId="0" fontId="10" fillId="5" borderId="1" pivotButton="0" quotePrefix="0" xfId="0"/>
    <xf numFmtId="0" fontId="2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JM NFE CONSULTORIA — Planilha-Modelo de Cálculo de Verbas Rescisórias</t>
        </is>
      </c>
    </row>
    <row r="3">
      <c r="B3" s="2" t="inlineStr"/>
    </row>
    <row r="4">
      <c r="B4" s="3" t="inlineStr">
        <is>
          <t>COMO USAR:</t>
        </is>
      </c>
    </row>
    <row r="5">
      <c r="B5" s="2" t="inlineStr">
        <is>
          <t>1. Preencha apenas as células AMARELAS (entradas) na aba 'Parametros'.</t>
        </is>
      </c>
    </row>
    <row r="6">
      <c r="B6" s="2" t="inlineStr">
        <is>
          <t>2. As células ROSA são valores que MUDAM (INSS, IRRF, índice de correção): confirme</t>
        </is>
      </c>
    </row>
    <row r="7">
      <c r="B7" s="2" t="inlineStr">
        <is>
          <t xml:space="preserve">   o valor VIGENTE na fonte oficial e na competência correta antes de usar.</t>
        </is>
      </c>
    </row>
    <row r="8">
      <c r="B8" s="2" t="inlineStr">
        <is>
          <t>3. A aba 'Calculo' preenche-se sozinha por fórmula (células protegidas).</t>
        </is>
      </c>
    </row>
    <row r="9">
      <c r="B9" s="2" t="inlineStr">
        <is>
          <t>4. A aba 'Memoria' registra premissas e fontes — preencha para tornar o cálculo auditável.</t>
        </is>
      </c>
    </row>
    <row r="10">
      <c r="B10" s="2" t="inlineStr"/>
    </row>
    <row r="11">
      <c r="B11" s="2" t="inlineStr">
        <is>
          <t>PRINCÍPIO PERICIAL: o cálculo é prova. Tudo deve ser rastreável e reconferido.</t>
        </is>
      </c>
    </row>
    <row r="12">
      <c r="B12" s="2" t="inlineStr"/>
    </row>
    <row r="13">
      <c r="B13" s="3" t="inlineStr">
        <is>
          <t>AVISOS OBRIGATÓRIOS:</t>
        </is>
      </c>
    </row>
    <row r="14">
      <c r="B14" s="2" t="inlineStr">
        <is>
          <t>• Esta planilha é um INSTRUMENTO DE APOIO, não substitui o julgamento técnico do perito.</t>
        </is>
      </c>
    </row>
    <row r="15">
      <c r="B15" s="2" t="inlineStr">
        <is>
          <t>• Avos de 13º e de férias proporcionais seguem a regra dos 15 dias (&gt;=15 dias = 1 avo);</t>
        </is>
      </c>
    </row>
    <row r="16">
      <c r="B16" s="2" t="inlineStr">
        <is>
          <t xml:space="preserve">  o perito informa o nº de avos após analisar o caso (campo de entrada).</t>
        </is>
      </c>
    </row>
    <row r="17">
      <c r="B17" s="2" t="inlineStr">
        <is>
          <t>• Índices de correção monetária e juros trabalhistas MUDARAM (ex.: ADC 58/59 do STF e</t>
        </is>
      </c>
    </row>
    <row r="18">
      <c r="B18" s="2" t="inlineStr">
        <is>
          <t xml:space="preserve">  alterações posteriores) e variam por fase processual — confirme o critério vigente.</t>
        </is>
      </c>
    </row>
    <row r="19">
      <c r="B19" s="2" t="inlineStr">
        <is>
          <t>• Tabelas de INSS e IRRF mudam periodicamente — use a tabela da competência correta.</t>
        </is>
      </c>
    </row>
    <row r="20">
      <c r="B20" s="2" t="inlineStr">
        <is>
          <t>• O perito produz prova técnica; tese e peça jurídica são privativas de advogado (Lei 8.906/94).</t>
        </is>
      </c>
    </row>
    <row r="21">
      <c r="B21" s="2" t="inlineStr">
        <is>
          <t>• Dados do trabalhador são pessoais — sigilo e LGPD.</t>
        </is>
      </c>
    </row>
    <row r="22">
      <c r="B22" s="2" t="inlineStr"/>
    </row>
    <row r="23">
      <c r="B23" s="3" t="inlineStr">
        <is>
          <t>LEGENDA DE CORES:</t>
        </is>
      </c>
    </row>
    <row r="24">
      <c r="B24" s="4" t="inlineStr">
        <is>
          <t xml:space="preserve">  Entrada (preencher)</t>
        </is>
      </c>
    </row>
    <row r="25">
      <c r="B25" s="5" t="inlineStr">
        <is>
          <t xml:space="preserve">  Verificar valor vigente</t>
        </is>
      </c>
    </row>
    <row r="26">
      <c r="B26" s="6" t="inlineStr">
        <is>
          <t xml:space="preserve">  Resultado (fórmula, protegido)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50" customWidth="1" min="4" max="4"/>
  </cols>
  <sheetData>
    <row r="2" ht="26" customHeight="1">
      <c r="B2" s="7" t="inlineStr">
        <is>
          <t>PARÂMETROS DO CÁLCULO</t>
        </is>
      </c>
    </row>
    <row r="4">
      <c r="B4" s="8" t="inlineStr">
        <is>
          <t>Identificação</t>
        </is>
      </c>
    </row>
    <row r="5">
      <c r="B5" s="9" t="inlineStr">
        <is>
          <t>Reclamante</t>
        </is>
      </c>
      <c r="C5" s="10" t="inlineStr">
        <is>
          <t>____________________</t>
        </is>
      </c>
    </row>
    <row r="6">
      <c r="B6" s="9" t="inlineStr">
        <is>
          <t>Processo nº / Vara</t>
        </is>
      </c>
      <c r="C6" s="10" t="inlineStr">
        <is>
          <t>____________________</t>
        </is>
      </c>
    </row>
    <row r="7">
      <c r="B7" s="9" t="inlineStr">
        <is>
          <t>Data-base do cálculo</t>
        </is>
      </c>
      <c r="C7" s="10" t="inlineStr">
        <is>
          <t>__/__/____</t>
        </is>
      </c>
    </row>
    <row r="9">
      <c r="B9" s="8" t="inlineStr">
        <is>
          <t>Contrato</t>
        </is>
      </c>
    </row>
    <row r="10">
      <c r="B10" s="9" t="inlineStr">
        <is>
          <t>Data de admissão</t>
        </is>
      </c>
      <c r="C10" s="11">
        <f>DATE(2020,1,1)</f>
        <v/>
      </c>
      <c r="D10" s="12" t="inlineStr">
        <is>
          <t>Editar a data real (formato data)</t>
        </is>
      </c>
    </row>
    <row r="11">
      <c r="B11" s="9" t="inlineStr">
        <is>
          <t>Data de afastamento/rescisão</t>
        </is>
      </c>
      <c r="C11" s="11">
        <f>DATE(2024,6,30)</f>
        <v/>
      </c>
      <c r="D11" s="12" t="inlineStr">
        <is>
          <t>Editar a data real</t>
        </is>
      </c>
    </row>
    <row r="12">
      <c r="B12" s="9" t="inlineStr">
        <is>
          <t>Último salário-base mensal</t>
        </is>
      </c>
      <c r="C12" s="13" t="n">
        <v>2000</v>
      </c>
      <c r="D12" s="12" t="inlineStr">
        <is>
          <t>Maior remuneração/base apurada</t>
        </is>
      </c>
    </row>
    <row r="13">
      <c r="B13" s="9" t="inlineStr">
        <is>
          <t>Média de variáveis (HE, comissões...)</t>
        </is>
      </c>
      <c r="C13" s="13" t="n">
        <v>0</v>
      </c>
      <c r="D13" s="12" t="inlineStr">
        <is>
          <t>Médias que integram a remuneração</t>
        </is>
      </c>
    </row>
    <row r="14">
      <c r="B14" s="9" t="inlineStr">
        <is>
          <t>Remuneração para cálculo</t>
        </is>
      </c>
      <c r="C14" s="14">
        <f>C12+C13</f>
        <v/>
      </c>
      <c r="D14" s="12">
        <f> salário-base + médias (fórmula)</f>
        <v/>
      </c>
    </row>
    <row r="16">
      <c r="B16" s="8" t="inlineStr">
        <is>
          <t>Avos (regra dos 15 dias — perito informa)</t>
        </is>
      </c>
    </row>
    <row r="17">
      <c r="B17" s="9" t="inlineStr">
        <is>
          <t>Avos de 13º proporcional (0 a 12)</t>
        </is>
      </c>
      <c r="C17" s="15" t="n">
        <v>6</v>
      </c>
      <c r="D17" s="12" t="inlineStr">
        <is>
          <t>&gt;=15 dias trabalhados no mês = 1 avo</t>
        </is>
      </c>
    </row>
    <row r="18">
      <c r="B18" s="9" t="inlineStr">
        <is>
          <t>Avos de férias proporcionais (0 a 12)</t>
        </is>
      </c>
      <c r="C18" s="15" t="n">
        <v>6</v>
      </c>
      <c r="D18" s="12" t="inlineStr">
        <is>
          <t>Período aquisitivo incompleto</t>
        </is>
      </c>
    </row>
    <row r="19">
      <c r="B19" s="9" t="inlineStr">
        <is>
          <t>Férias vencidas (períodos)</t>
        </is>
      </c>
      <c r="C19" s="15" t="n">
        <v>0</v>
      </c>
      <c r="D19" s="12" t="inlineStr">
        <is>
          <t>Períodos integrais não gozados</t>
        </is>
      </c>
    </row>
    <row r="20">
      <c r="B20" s="9" t="inlineStr">
        <is>
          <t>Dias de saldo de salário (mês da saída)</t>
        </is>
      </c>
      <c r="C20" s="15" t="n">
        <v>30</v>
      </c>
      <c r="D20" s="12" t="inlineStr">
        <is>
          <t>Dias trabalhados no mês da rescisão</t>
        </is>
      </c>
    </row>
    <row r="22">
      <c r="B22" s="8" t="inlineStr">
        <is>
          <t>Aviso prévio (Lei 12.506/2011)</t>
        </is>
      </c>
    </row>
    <row r="23">
      <c r="B23" s="9" t="inlineStr">
        <is>
          <t>Aviso indenizado? (1=Sim / 0=Não)</t>
        </is>
      </c>
      <c r="C23" s="15" t="n">
        <v>1</v>
      </c>
      <c r="D23" s="12" t="inlineStr">
        <is>
          <t>1 = devido indenizado</t>
        </is>
      </c>
    </row>
    <row r="24">
      <c r="B24" s="9" t="inlineStr">
        <is>
          <t>Anos completos de serviço</t>
        </is>
      </c>
      <c r="C24" s="15" t="n">
        <v>4</v>
      </c>
      <c r="D24" s="12" t="inlineStr">
        <is>
          <t>Cada ano +3 dias, máx total 90 dias</t>
        </is>
      </c>
    </row>
    <row r="26">
      <c r="B26" s="8" t="inlineStr">
        <is>
          <t>FGTS</t>
        </is>
      </c>
    </row>
    <row r="27">
      <c r="B27" s="9" t="inlineStr">
        <is>
          <t>Saldo de FGTS depositado (extrato)</t>
        </is>
      </c>
      <c r="C27" s="13" t="n">
        <v>0</v>
      </c>
      <c r="D27" s="12" t="inlineStr">
        <is>
          <t>Base da multa de 40% (conferir extrato)</t>
        </is>
      </c>
    </row>
    <row r="28">
      <c r="B28" s="9" t="inlineStr">
        <is>
          <t>Aplicar multa de 40%? (1/0)</t>
        </is>
      </c>
      <c r="C28" s="15" t="n">
        <v>1</v>
      </c>
      <c r="D28" s="12" t="inlineStr">
        <is>
          <t>Dispensa sem justa causa = 1</t>
        </is>
      </c>
    </row>
    <row r="30">
      <c r="B30" s="8" t="inlineStr">
        <is>
          <t>VALORES QUE MUDAM — confirmar VIGENTE na fonte oficial</t>
        </is>
      </c>
    </row>
    <row r="31">
      <c r="B31" s="9" t="inlineStr">
        <is>
          <t>Alíquota efetiva de INSS (%)</t>
        </is>
      </c>
      <c r="C31" s="16" t="n">
        <v>0</v>
      </c>
      <c r="D31" s="12" t="inlineStr">
        <is>
          <t>Tabela progressiva vigente / competência</t>
        </is>
      </c>
    </row>
    <row r="32">
      <c r="B32" s="9" t="inlineStr">
        <is>
          <t>IRRF a reter (R$)</t>
        </is>
      </c>
      <c r="C32" s="17" t="n">
        <v>0</v>
      </c>
      <c r="D32" s="12" t="inlineStr">
        <is>
          <t>Apurar pela tabela vigente sobre base legal</t>
        </is>
      </c>
    </row>
    <row r="33">
      <c r="B33" s="9" t="inlineStr">
        <is>
          <t>Índice de correção monetária (fator)</t>
        </is>
      </c>
      <c r="C33" s="18" t="n">
        <v>1</v>
      </c>
      <c r="D33" s="12" t="inlineStr">
        <is>
          <t>ADC 58/59 + fase: IPCA-E/SELIC etc. CONFIRMAR</t>
        </is>
      </c>
    </row>
    <row r="34">
      <c r="B34" s="9" t="inlineStr">
        <is>
          <t>Juros de mora (fator)</t>
        </is>
      </c>
      <c r="C34" s="18" t="n">
        <v>1</v>
      </c>
      <c r="D34" s="12" t="inlineStr">
        <is>
          <t>Confirmar critério e fase processual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22:D22"/>
    <mergeCell ref="B4:D4"/>
    <mergeCell ref="B26:D26"/>
    <mergeCell ref="B9:D9"/>
    <mergeCell ref="B2:D2"/>
    <mergeCell ref="B30:D30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48" customWidth="1" min="4" max="4"/>
  </cols>
  <sheetData>
    <row r="2" ht="26" customHeight="1">
      <c r="B2" s="7" t="inlineStr">
        <is>
          <t>MEMÓRIA DE CÁLCULO — VERBAS RESCISÓRIAS</t>
        </is>
      </c>
    </row>
    <row r="4">
      <c r="B4" s="19" t="inlineStr">
        <is>
          <t>Verba</t>
        </is>
      </c>
      <c r="C4" s="20" t="inlineStr">
        <is>
          <t>Valor</t>
        </is>
      </c>
      <c r="D4" s="20" t="inlineStr">
        <is>
          <t>Fórmula / base</t>
        </is>
      </c>
    </row>
    <row r="5">
      <c r="B5" s="6" t="inlineStr">
        <is>
          <t>Saldo de salário</t>
        </is>
      </c>
      <c r="C5" s="21">
        <f>ROUND(Parametros!C14/30*Parametros!C20,2)</f>
        <v/>
      </c>
      <c r="D5" s="12" t="inlineStr">
        <is>
          <t>remuneração / 30 × dias trabalhados no mês</t>
        </is>
      </c>
    </row>
    <row r="6">
      <c r="B6" s="6" t="inlineStr">
        <is>
          <t>Aviso prévio indenizado</t>
        </is>
      </c>
      <c r="C6" s="21">
        <f>IF(Parametros!C23=1,ROUND(Parametros!C14/30*MIN(90,30+3*Parametros!C24),2),0)</f>
        <v/>
      </c>
      <c r="D6" s="12" t="inlineStr">
        <is>
          <t>Lei 12.506/2011: 30 + 3×ano, máx 90 dias</t>
        </is>
      </c>
    </row>
    <row r="7">
      <c r="B7" s="6" t="inlineStr">
        <is>
          <t>13º salário proporcional</t>
        </is>
      </c>
      <c r="C7" s="21">
        <f>ROUND(Parametros!C14/12*Parametros!C17,2)</f>
        <v/>
      </c>
      <c r="D7" s="12" t="inlineStr">
        <is>
          <t>remuneração / 12 × avos de 13º</t>
        </is>
      </c>
    </row>
    <row r="8">
      <c r="B8" s="6" t="inlineStr">
        <is>
          <t>Férias vencidas + 1/3</t>
        </is>
      </c>
      <c r="C8" s="21">
        <f>ROUND(Parametros!C14*Parametros!C19*(4/3),2)</f>
        <v/>
      </c>
      <c r="D8" s="12" t="inlineStr">
        <is>
          <t>remuneração × períodos × (1 + 1/3)</t>
        </is>
      </c>
    </row>
    <row r="9">
      <c r="B9" s="6" t="inlineStr">
        <is>
          <t>Férias proporcionais + 1/3</t>
        </is>
      </c>
      <c r="C9" s="21">
        <f>ROUND(Parametros!C14/12*Parametros!C18*(4/3),2)</f>
        <v/>
      </c>
      <c r="D9" s="12" t="inlineStr">
        <is>
          <t>(remuneração/12 × avos) + 1/3</t>
        </is>
      </c>
    </row>
    <row r="10">
      <c r="B10" s="22" t="inlineStr">
        <is>
          <t>SUBTOTAL (verbas)</t>
        </is>
      </c>
      <c r="C10" s="23">
        <f>ROUND(SUM(C5:C9),2)</f>
        <v/>
      </c>
      <c r="D10" s="24" t="inlineStr">
        <is>
          <t>soma das verbas acima</t>
        </is>
      </c>
    </row>
    <row r="12">
      <c r="B12" s="6" t="inlineStr">
        <is>
          <t>FGTS sobre as verbas (8%)</t>
        </is>
      </c>
      <c r="C12" s="21">
        <f>ROUND(C10*0.08,2)</f>
        <v/>
      </c>
      <c r="D12" s="12" t="inlineStr">
        <is>
          <t>8% sobre verbas tributáveis (conferir incidência por verba)</t>
        </is>
      </c>
    </row>
    <row r="13">
      <c r="B13" s="6" t="inlineStr">
        <is>
          <t>Multa de 40% do FGTS</t>
        </is>
      </c>
      <c r="C13" s="21">
        <f>IF(Parametros!C28=1,ROUND(Parametros!C27*0.4,2),0)</f>
        <v/>
      </c>
      <c r="D13" s="12" t="inlineStr">
        <is>
          <t>40% sobre o saldo depositado (extrato)</t>
        </is>
      </c>
    </row>
    <row r="15">
      <c r="B15" s="6" t="inlineStr">
        <is>
          <t>(-) INSS</t>
        </is>
      </c>
      <c r="C15" s="21">
        <f>ROUND(C10*Parametros!C31,2)</f>
        <v/>
      </c>
      <c r="D15" s="12" t="inlineStr">
        <is>
          <t>alíquota efetiva × base (VERIFICAR tabela vigente)</t>
        </is>
      </c>
    </row>
    <row r="16">
      <c r="B16" s="6" t="inlineStr">
        <is>
          <t>(-) IRRF</t>
        </is>
      </c>
      <c r="C16" s="21">
        <f>Parametros!C32</f>
        <v/>
      </c>
      <c r="D16" s="12" t="inlineStr">
        <is>
          <t>valor apurado pela tabela vigente (VERIFICAR)</t>
        </is>
      </c>
    </row>
    <row r="18">
      <c r="B18" s="25" t="inlineStr">
        <is>
          <t>TOTAL LÍQUIDO (histórico)</t>
        </is>
      </c>
      <c r="C18" s="26">
        <f>ROUND(C10+C12+C13-C15-C16,2)</f>
        <v/>
      </c>
      <c r="D18" s="27" t="inlineStr">
        <is>
          <t>verbas + FGTS + multa − INSS − IRRF</t>
        </is>
      </c>
    </row>
    <row r="20">
      <c r="B20" s="6" t="inlineStr">
        <is>
          <t>Correção monetária (fator)</t>
        </is>
      </c>
      <c r="C20" s="21">
        <f>ROUND(C18*Parametros!C33-C18,2)</f>
        <v/>
      </c>
      <c r="D20" s="12" t="inlineStr">
        <is>
          <t>(VERIFICAR índice/fase — ADC 58/59 etc.)</t>
        </is>
      </c>
    </row>
    <row r="21">
      <c r="B21" s="6" t="inlineStr">
        <is>
          <t>Juros de mora (fator)</t>
        </is>
      </c>
      <c r="C21" s="21">
        <f>ROUND((C18+C20)*Parametros!C34-(C18+C20),2)</f>
        <v/>
      </c>
      <c r="D21" s="12" t="inlineStr">
        <is>
          <t>(VERIFICAR critério e fase processual)</t>
        </is>
      </c>
    </row>
    <row r="23" ht="22" customHeight="1">
      <c r="B23" s="28" t="inlineStr">
        <is>
          <t>TOTAL GERAL ATUALIZADO</t>
        </is>
      </c>
      <c r="C23" s="29">
        <f>ROUND(C18+C20+C21,2)</f>
        <v/>
      </c>
      <c r="D23" s="30" t="inlineStr">
        <is>
          <t>líquido histórico + correção + juros</t>
        </is>
      </c>
    </row>
    <row r="25">
      <c r="B25" s="1" t="inlineStr">
        <is>
          <t>CONTROLE DE QUALIDADE (JM NFE)</t>
        </is>
      </c>
    </row>
    <row r="26">
      <c r="B26" s="2" t="inlineStr">
        <is>
          <t>[ ] Reconferi por método independente (2ª via do cálculo).</t>
        </is>
      </c>
    </row>
    <row r="27">
      <c r="B27" s="2" t="inlineStr">
        <is>
          <t>[ ] Avos de 13º/férias conferidos pela regra dos 15 dias.</t>
        </is>
      </c>
    </row>
    <row r="28">
      <c r="B28" s="2" t="inlineStr">
        <is>
          <t>[ ] Índices de correção/juros confirmados na fonte vigente e na fase correta.</t>
        </is>
      </c>
    </row>
    <row r="29">
      <c r="B29" s="2" t="inlineStr">
        <is>
          <t>[ ] Tabelas de INSS/IRRF da competência correta.</t>
        </is>
      </c>
    </row>
    <row r="30">
      <c r="B30" s="2" t="inlineStr">
        <is>
          <t>[ ] Incidência de FGTS conferida verba a verba.</t>
        </is>
      </c>
    </row>
    <row r="31">
      <c r="B31" s="2" t="inlineStr">
        <is>
          <t>[ ] Premissas e fontes registradas na aba 'Memoria'.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5" customWidth="1" min="3" max="3"/>
    <col width="30" customWidth="1" min="4" max="4"/>
  </cols>
  <sheetData>
    <row r="2" ht="26" customHeight="1">
      <c r="B2" s="7" t="inlineStr">
        <is>
          <t>MEMÓRIA / PREMISSAS E FONTES</t>
        </is>
      </c>
    </row>
    <row r="4">
      <c r="B4" s="19" t="inlineStr">
        <is>
          <t>Premissa</t>
        </is>
      </c>
      <c r="C4" s="19" t="inlineStr">
        <is>
          <t>Critério adotado</t>
        </is>
      </c>
      <c r="D4" s="19" t="inlineStr">
        <is>
          <t>Fonte / fls. / data</t>
        </is>
      </c>
    </row>
    <row r="5">
      <c r="B5" s="9" t="inlineStr">
        <is>
          <t>Período do vínculo</t>
        </is>
      </c>
      <c r="C5" s="31" t="inlineStr">
        <is>
          <t>____________________</t>
        </is>
      </c>
      <c r="D5" s="31" t="inlineStr">
        <is>
          <t>____________________</t>
        </is>
      </c>
    </row>
    <row r="6">
      <c r="B6" s="9" t="inlineStr">
        <is>
          <t>Remuneração-base e médias</t>
        </is>
      </c>
      <c r="C6" s="31" t="inlineStr">
        <is>
          <t>____________________</t>
        </is>
      </c>
      <c r="D6" s="31" t="inlineStr">
        <is>
          <t>____________________</t>
        </is>
      </c>
    </row>
    <row r="7">
      <c r="B7" s="9" t="inlineStr">
        <is>
          <t>Verbas deferidas (sentença)</t>
        </is>
      </c>
      <c r="C7" s="31" t="inlineStr">
        <is>
          <t>____________________</t>
        </is>
      </c>
      <c r="D7" s="31" t="inlineStr">
        <is>
          <t>____________________</t>
        </is>
      </c>
    </row>
    <row r="8">
      <c r="B8" s="9" t="inlineStr">
        <is>
          <t>Avos de 13º / férias</t>
        </is>
      </c>
      <c r="C8" s="31" t="inlineStr">
        <is>
          <t>____________________</t>
        </is>
      </c>
      <c r="D8" s="31" t="inlineStr">
        <is>
          <t>____________________</t>
        </is>
      </c>
    </row>
    <row r="9">
      <c r="B9" s="9" t="inlineStr">
        <is>
          <t>Critério de correção monetária</t>
        </is>
      </c>
      <c r="C9" s="31" t="inlineStr">
        <is>
          <t>____________________</t>
        </is>
      </c>
      <c r="D9" s="31" t="inlineStr">
        <is>
          <t>____________________</t>
        </is>
      </c>
    </row>
    <row r="10">
      <c r="B10" s="9" t="inlineStr">
        <is>
          <t>Critério de juros</t>
        </is>
      </c>
      <c r="C10" s="31" t="inlineStr">
        <is>
          <t>____________________</t>
        </is>
      </c>
      <c r="D10" s="31" t="inlineStr">
        <is>
          <t>____________________</t>
        </is>
      </c>
    </row>
    <row r="11">
      <c r="B11" s="9" t="inlineStr">
        <is>
          <t>Tabela INSS</t>
        </is>
      </c>
      <c r="C11" s="31" t="inlineStr">
        <is>
          <t>____________________</t>
        </is>
      </c>
      <c r="D11" s="31" t="inlineStr">
        <is>
          <t>____________________</t>
        </is>
      </c>
    </row>
    <row r="12">
      <c r="B12" s="9" t="inlineStr">
        <is>
          <t>Tabela IRRF</t>
        </is>
      </c>
      <c r="C12" s="31" t="inlineStr">
        <is>
          <t>____________________</t>
        </is>
      </c>
      <c r="D12" s="31" t="inlineStr">
        <is>
          <t>____________________</t>
        </is>
      </c>
    </row>
    <row r="13">
      <c r="B13" s="9" t="inlineStr">
        <is>
          <t>Saldo FGTS / multa 40%</t>
        </is>
      </c>
      <c r="C13" s="31" t="inlineStr">
        <is>
          <t>____________________</t>
        </is>
      </c>
      <c r="D13" s="31" t="inlineStr">
        <is>
          <t>____________________</t>
        </is>
      </c>
    </row>
    <row r="14">
      <c r="B14" s="9" t="inlineStr">
        <is>
          <t>Outras ressalvas</t>
        </is>
      </c>
      <c r="C14" s="31" t="inlineStr">
        <is>
          <t>____________________</t>
        </is>
      </c>
      <c r="D14" s="31" t="inlineStr">
        <is>
          <t>____________________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2026-06-03T16:04:31Z</dcterms:created>
  <dcterms:modified xsi:type="dcterms:W3CDTF">2026-06-03T16:04:31Z</dcterms:modified>
</cp:coreProperties>
</file>