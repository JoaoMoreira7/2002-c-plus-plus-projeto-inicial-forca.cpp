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Indices" sheetId="2" state="visible" r:id="rId2"/>
    <sheet name="Verbas" sheetId="3" state="visible" r:id="rId3"/>
    <sheet name="Resumo" sheetId="4" state="visible" r:id="rId4"/>
    <sheet name="Memo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yyyy"/>
    <numFmt numFmtId="166" formatCode="0.000000"/>
    <numFmt numFmtId="167" formatCode="R$ #,##0.00"/>
  </numFmts>
  <fonts count="12">
    <font>
      <name val="Calibri"/>
      <family val="2"/>
      <color theme="1"/>
      <sz val="11"/>
      <scheme val="minor"/>
    </font>
    <font>
      <name val="Calibri"/>
      <b val="1"/>
      <color rgb="000B2A3A"/>
      <sz val="12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i val="1"/>
      <color rgb="005A6B73"/>
      <sz val="8"/>
    </font>
    <font>
      <name val="Consolas"/>
      <color rgb="001A1A1A"/>
      <sz val="10"/>
    </font>
    <font>
      <name val="Consolas"/>
      <b val="1"/>
      <color rgb="000B2A3A"/>
      <sz val="11"/>
    </font>
    <font>
      <name val="Calibri"/>
      <b val="1"/>
      <color rgb="00FFFFFF"/>
      <sz val="13"/>
    </font>
    <font>
      <name val="Consolas"/>
      <b val="1"/>
      <color rgb="001FA8A6"/>
      <sz val="13"/>
    </font>
    <font>
      <name val="Calibri"/>
      <i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FDE7E9"/>
      </patternFill>
    </fill>
    <fill>
      <patternFill patternType="solid">
        <fgColor rgb="00F5F7F8"/>
      </patternFill>
    </fill>
    <fill>
      <patternFill patternType="solid">
        <fgColor rgb="000B2A3A"/>
      </patternFill>
    </fill>
    <fill>
      <patternFill patternType="solid">
        <fgColor rgb="0011507A"/>
      </patternFill>
    </fill>
    <fill>
      <patternFill patternType="solid">
        <fgColor rgb="001FA8A6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4" fillId="5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6" borderId="1" applyAlignment="1" pivotButton="0" quotePrefix="0" xfId="0">
      <alignment horizontal="center"/>
    </xf>
    <xf numFmtId="165" fontId="7" fillId="2" borderId="1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/>
      <protection locked="0" hidden="0"/>
    </xf>
    <xf numFmtId="166" fontId="7" fillId="3" borderId="1" applyAlignment="1" applyProtection="1" pivotButton="0" quotePrefix="0" xfId="0">
      <alignment horizontal="right"/>
      <protection locked="0" hidden="0"/>
    </xf>
    <xf numFmtId="0" fontId="6" fillId="2" borderId="1" applyProtection="1" pivotButton="0" quotePrefix="0" xfId="0">
      <protection locked="0" hidden="0"/>
    </xf>
    <xf numFmtId="0" fontId="5" fillId="6" borderId="1" applyAlignment="1" pivotButton="0" quotePrefix="0" xfId="0">
      <alignment horizontal="left"/>
    </xf>
    <xf numFmtId="0" fontId="2" fillId="2" borderId="1" applyProtection="1" pivotButton="0" quotePrefix="0" xfId="0">
      <protection locked="0" hidden="0"/>
    </xf>
    <xf numFmtId="167" fontId="7" fillId="2" borderId="1" applyAlignment="1" applyProtection="1" pivotButton="0" quotePrefix="0" xfId="0">
      <alignment horizontal="right"/>
      <protection locked="0" hidden="0"/>
    </xf>
    <xf numFmtId="166" fontId="7" fillId="4" borderId="1" applyAlignment="1" pivotButton="0" quotePrefix="0" xfId="0">
      <alignment horizontal="right"/>
    </xf>
    <xf numFmtId="167" fontId="7" fillId="4" borderId="1" applyAlignment="1" pivotButton="0" quotePrefix="0" xfId="0">
      <alignment horizontal="right"/>
    </xf>
    <xf numFmtId="0" fontId="3" fillId="7" borderId="1" pivotButton="0" quotePrefix="0" xfId="0"/>
    <xf numFmtId="0" fontId="2" fillId="7" borderId="1" pivotButton="0" quotePrefix="0" xfId="0"/>
    <xf numFmtId="167" fontId="8" fillId="7" borderId="1" applyAlignment="1" pivotButton="0" quotePrefix="0" xfId="0">
      <alignment horizontal="right"/>
    </xf>
    <xf numFmtId="0" fontId="3" fillId="4" borderId="1" pivotButton="0" quotePrefix="0" xfId="0"/>
    <xf numFmtId="0" fontId="6" fillId="4" borderId="1" pivotButton="0" quotePrefix="0" xfId="0"/>
    <xf numFmtId="167" fontId="7" fillId="3" borderId="1" applyAlignment="1" applyProtection="1" pivotButton="0" quotePrefix="0" xfId="0">
      <alignment horizontal="right"/>
      <protection locked="0" hidden="0"/>
    </xf>
    <xf numFmtId="0" fontId="9" fillId="5" borderId="1" pivotButton="0" quotePrefix="0" xfId="0"/>
    <xf numFmtId="167" fontId="10" fillId="5" borderId="1" applyAlignment="1" pivotButton="0" quotePrefix="0" xfId="0">
      <alignment horizontal="right"/>
    </xf>
    <xf numFmtId="0" fontId="1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JM NFE — Planilha de LIQUIDAÇÃO com atualização por competência</t>
        </is>
      </c>
    </row>
    <row r="3">
      <c r="B3" s="2" t="inlineStr"/>
    </row>
    <row r="4">
      <c r="B4" s="3" t="inlineStr">
        <is>
          <t>FLUXO DE USO:</t>
        </is>
      </c>
    </row>
    <row r="5">
      <c r="B5" s="2" t="inlineStr">
        <is>
          <t>1. Aba 'Indices': preencha a tabela com o FATOR de cada competência, extraído da</t>
        </is>
      </c>
    </row>
    <row r="6">
      <c r="B6" s="2" t="inlineStr">
        <is>
          <t xml:space="preserve">   tabela oficial do TRT/CSJT do período dos autos (ou IPCA-E/SELIC por fase).</t>
        </is>
      </c>
    </row>
    <row r="7">
      <c r="B7" s="2" t="inlineStr">
        <is>
          <t xml:space="preserve">   Use o fator CONSOLIDADO (correção + juros) da tabela única, quando adotá-la.</t>
        </is>
      </c>
    </row>
    <row r="8">
      <c r="B8" s="2" t="inlineStr">
        <is>
          <t>2. Aba 'Verbas': lance cada parcela com sua COMPETÊNCIA e o VALOR HISTÓRICO.</t>
        </is>
      </c>
    </row>
    <row r="9">
      <c r="B9" s="2" t="inlineStr">
        <is>
          <t xml:space="preserve">   O fator é buscado automaticamente (PROCV) pela competência; o corrigido se calcula.</t>
        </is>
      </c>
    </row>
    <row r="10">
      <c r="B10" s="2" t="inlineStr">
        <is>
          <t>3. Aba 'Resumo': confira totais, FGTS, multa e descontos (apure isenções).</t>
        </is>
      </c>
    </row>
    <row r="11">
      <c r="B11" s="2" t="inlineStr">
        <is>
          <t>4. Aba 'Memoria': registre premissas, fontes e datas de extração dos índices.</t>
        </is>
      </c>
    </row>
    <row r="12">
      <c r="B12" s="2" t="inlineStr"/>
    </row>
    <row r="13">
      <c r="B13" s="3" t="inlineStr">
        <is>
          <t>REGRA-MÃE: o índice segue o PERÍODO e a DECISÃO LIQUIDANDA. Veja o documento</t>
        </is>
      </c>
    </row>
    <row r="14">
      <c r="B14" s="2" t="inlineStr">
        <is>
          <t>'06-tabelas-indices-2026-e-metodologia.md'. IPCA-E/SELIC são pós-fixados.</t>
        </is>
      </c>
    </row>
    <row r="15">
      <c r="B15" s="2" t="inlineStr"/>
    </row>
    <row r="16">
      <c r="B16" s="2" t="inlineStr">
        <is>
          <t>AVISOS: instrumento de apoio (não substitui o julgamento do perito); verbas</t>
        </is>
      </c>
    </row>
    <row r="17">
      <c r="B17" s="2" t="inlineStr">
        <is>
          <t>indenizatórias em geral são isentas de INSS/IR (apurar verba a verba); o 13º tem</t>
        </is>
      </c>
    </row>
    <row r="18">
      <c r="B18" s="2" t="inlineStr">
        <is>
          <t>tributação exclusiva; perito não advoga (Lei 8.906/94); dados pessoais sob LGPD.</t>
        </is>
      </c>
    </row>
    <row r="19">
      <c r="B19" s="2" t="inlineStr"/>
    </row>
    <row r="20">
      <c r="B20" s="3" t="inlineStr">
        <is>
          <t>LEGENDA:</t>
        </is>
      </c>
    </row>
    <row r="21">
      <c r="B21" s="4" t="inlineStr">
        <is>
          <t xml:space="preserve">  Entrada (preencher)</t>
        </is>
      </c>
    </row>
    <row r="22">
      <c r="B22" s="5" t="inlineStr">
        <is>
          <t xml:space="preserve">  Verificar valor vigente / fonte oficial</t>
        </is>
      </c>
    </row>
    <row r="23">
      <c r="B23" s="6" t="inlineStr">
        <is>
          <t xml:space="preserve">  Resultado (fórmula protegida)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6" customWidth="1" min="4" max="4"/>
    <col width="46" customWidth="1" min="5" max="5"/>
  </cols>
  <sheetData>
    <row r="2" ht="24" customHeight="1">
      <c r="B2" s="7" t="inlineStr">
        <is>
          <t>TABELA DE ÍNDICES POR COMPETÊNCIA (preencher da fonte oficial)</t>
        </is>
      </c>
    </row>
    <row r="3">
      <c r="B3" s="8" t="inlineStr">
        <is>
          <t>Fator CONSOLIDADO (correção + juros) acumulado da competência até a data-base. Ex.: 1,0500 = +5%.</t>
        </is>
      </c>
    </row>
    <row r="4">
      <c r="B4" s="9" t="inlineStr">
        <is>
          <t>Competência</t>
        </is>
      </c>
      <c r="C4" s="9" t="inlineStr">
        <is>
          <t>Fase</t>
        </is>
      </c>
      <c r="D4" s="9" t="inlineStr">
        <is>
          <t>Fator</t>
        </is>
      </c>
      <c r="E4" s="9" t="inlineStr">
        <is>
          <t>Fonte / data de extração</t>
        </is>
      </c>
    </row>
    <row r="5">
      <c r="B5" s="10" t="n">
        <v>43831</v>
      </c>
      <c r="C5" s="11" t="inlineStr">
        <is>
          <t>pré-judicial</t>
        </is>
      </c>
      <c r="D5" s="12" t="n">
        <v>1</v>
      </c>
      <c r="E5" s="13" t="inlineStr">
        <is>
          <t>____ (TRT/CSJT/IBGE/BACEN — data: __/__/__)</t>
        </is>
      </c>
    </row>
    <row r="6">
      <c r="B6" s="10" t="n">
        <v>43862</v>
      </c>
      <c r="C6" s="11" t="inlineStr">
        <is>
          <t>pré-judicial</t>
        </is>
      </c>
      <c r="D6" s="12" t="n">
        <v>1</v>
      </c>
      <c r="E6" s="13" t="inlineStr">
        <is>
          <t>____ (TRT/CSJT/IBGE/BACEN — data: __/__/__)</t>
        </is>
      </c>
    </row>
    <row r="7">
      <c r="B7" s="10" t="n">
        <v>43891</v>
      </c>
      <c r="C7" s="11" t="inlineStr">
        <is>
          <t>pré-judicial</t>
        </is>
      </c>
      <c r="D7" s="12" t="n">
        <v>1</v>
      </c>
      <c r="E7" s="13" t="inlineStr">
        <is>
          <t>____ (TRT/CSJT/IBGE/BACEN — data: __/__/__)</t>
        </is>
      </c>
    </row>
    <row r="8">
      <c r="B8" s="10" t="n">
        <v>43922</v>
      </c>
      <c r="C8" s="11" t="inlineStr">
        <is>
          <t>pré-judicial</t>
        </is>
      </c>
      <c r="D8" s="12" t="n">
        <v>1</v>
      </c>
      <c r="E8" s="13" t="inlineStr">
        <is>
          <t>____ (TRT/CSJT/IBGE/BACEN — data: __/__/__)</t>
        </is>
      </c>
    </row>
    <row r="9">
      <c r="B9" s="10" t="n">
        <v>43952</v>
      </c>
      <c r="C9" s="11" t="inlineStr">
        <is>
          <t>pré-judicial</t>
        </is>
      </c>
      <c r="D9" s="12" t="n">
        <v>1</v>
      </c>
      <c r="E9" s="13" t="inlineStr">
        <is>
          <t>____ (TRT/CSJT/IBGE/BACEN — data: __/__/__)</t>
        </is>
      </c>
    </row>
    <row r="10">
      <c r="B10" s="10" t="n">
        <v>43983</v>
      </c>
      <c r="C10" s="11" t="inlineStr">
        <is>
          <t>pré-judicial</t>
        </is>
      </c>
      <c r="D10" s="12" t="n">
        <v>1</v>
      </c>
      <c r="E10" s="13" t="inlineStr">
        <is>
          <t>____ (TRT/CSJT/IBGE/BACEN — data: __/__/__)</t>
        </is>
      </c>
    </row>
    <row r="11">
      <c r="B11" s="10" t="n">
        <v>44013</v>
      </c>
      <c r="C11" s="11" t="inlineStr">
        <is>
          <t>pré-judicial</t>
        </is>
      </c>
      <c r="D11" s="12" t="n">
        <v>1</v>
      </c>
      <c r="E11" s="13" t="inlineStr">
        <is>
          <t>____ (TRT/CSJT/IBGE/BACEN — data: __/__/__)</t>
        </is>
      </c>
    </row>
    <row r="12">
      <c r="B12" s="10" t="n">
        <v>44044</v>
      </c>
      <c r="C12" s="11" t="inlineStr">
        <is>
          <t>pré-judicial</t>
        </is>
      </c>
      <c r="D12" s="12" t="n">
        <v>1</v>
      </c>
      <c r="E12" s="13" t="inlineStr">
        <is>
          <t>____ (TRT/CSJT/IBGE/BACEN — data: __/__/__)</t>
        </is>
      </c>
    </row>
    <row r="13">
      <c r="B13" s="10" t="n">
        <v>44075</v>
      </c>
      <c r="C13" s="11" t="inlineStr">
        <is>
          <t>pré-judicial</t>
        </is>
      </c>
      <c r="D13" s="12" t="n">
        <v>1</v>
      </c>
      <c r="E13" s="13" t="inlineStr">
        <is>
          <t>____ (TRT/CSJT/IBGE/BACEN — data: __/__/__)</t>
        </is>
      </c>
    </row>
    <row r="14">
      <c r="B14" s="10" t="n">
        <v>44105</v>
      </c>
      <c r="C14" s="11" t="inlineStr">
        <is>
          <t>pré-judicial</t>
        </is>
      </c>
      <c r="D14" s="12" t="n">
        <v>1</v>
      </c>
      <c r="E14" s="13" t="inlineStr">
        <is>
          <t>____ (TRT/CSJT/IBGE/BACEN — data: __/__/__)</t>
        </is>
      </c>
    </row>
    <row r="15">
      <c r="B15" s="10" t="n">
        <v>44136</v>
      </c>
      <c r="C15" s="11" t="inlineStr">
        <is>
          <t>pré-judicial</t>
        </is>
      </c>
      <c r="D15" s="12" t="n">
        <v>1</v>
      </c>
      <c r="E15" s="13" t="inlineStr">
        <is>
          <t>____ (TRT/CSJT/IBGE/BACEN — data: __/__/__)</t>
        </is>
      </c>
    </row>
    <row r="16">
      <c r="B16" s="10" t="n">
        <v>44166</v>
      </c>
      <c r="C16" s="11" t="inlineStr">
        <is>
          <t>pré-judicial</t>
        </is>
      </c>
      <c r="D16" s="12" t="n">
        <v>1</v>
      </c>
      <c r="E16" s="13" t="inlineStr">
        <is>
          <t>____ (TRT/CSJT/IBGE/BACEN — data: __/__/__)</t>
        </is>
      </c>
    </row>
    <row r="17">
      <c r="B17" s="10" t="n">
        <v>44197</v>
      </c>
      <c r="C17" s="11" t="inlineStr">
        <is>
          <t>pré-judicial</t>
        </is>
      </c>
      <c r="D17" s="12" t="n">
        <v>1</v>
      </c>
      <c r="E17" s="13" t="inlineStr">
        <is>
          <t>____ (TRT/CSJT/IBGE/BACEN — data: __/__/__)</t>
        </is>
      </c>
    </row>
    <row r="18">
      <c r="B18" s="10" t="n">
        <v>44228</v>
      </c>
      <c r="C18" s="11" t="inlineStr">
        <is>
          <t>pré-judicial</t>
        </is>
      </c>
      <c r="D18" s="12" t="n">
        <v>1</v>
      </c>
      <c r="E18" s="13" t="inlineStr">
        <is>
          <t>____ (TRT/CSJT/IBGE/BACEN — data: __/__/__)</t>
        </is>
      </c>
    </row>
    <row r="19">
      <c r="B19" s="10" t="n">
        <v>44256</v>
      </c>
      <c r="C19" s="11" t="inlineStr">
        <is>
          <t>pré-judicial</t>
        </is>
      </c>
      <c r="D19" s="12" t="n">
        <v>1</v>
      </c>
      <c r="E19" s="13" t="inlineStr">
        <is>
          <t>____ (TRT/CSJT/IBGE/BACEN — data: __/__/__)</t>
        </is>
      </c>
    </row>
    <row r="20">
      <c r="B20" s="10" t="n">
        <v>44287</v>
      </c>
      <c r="C20" s="11" t="inlineStr">
        <is>
          <t>pré-judicial</t>
        </is>
      </c>
      <c r="D20" s="12" t="n">
        <v>1</v>
      </c>
      <c r="E20" s="13" t="inlineStr">
        <is>
          <t>____ (TRT/CSJT/IBGE/BACEN — data: __/__/__)</t>
        </is>
      </c>
    </row>
    <row r="21">
      <c r="B21" s="10" t="n">
        <v>44317</v>
      </c>
      <c r="C21" s="11" t="inlineStr">
        <is>
          <t>pré-judicial</t>
        </is>
      </c>
      <c r="D21" s="12" t="n">
        <v>1</v>
      </c>
      <c r="E21" s="13" t="inlineStr">
        <is>
          <t>____ (TRT/CSJT/IBGE/BACEN — data: __/__/__)</t>
        </is>
      </c>
    </row>
    <row r="22">
      <c r="B22" s="10" t="n">
        <v>44348</v>
      </c>
      <c r="C22" s="11" t="inlineStr">
        <is>
          <t>pré-judicial</t>
        </is>
      </c>
      <c r="D22" s="12" t="n">
        <v>1</v>
      </c>
      <c r="E22" s="13" t="inlineStr">
        <is>
          <t>____ (TRT/CSJT/IBGE/BACEN — data: __/__/__)</t>
        </is>
      </c>
    </row>
    <row r="23">
      <c r="B23" s="10" t="n">
        <v>44378</v>
      </c>
      <c r="C23" s="11" t="inlineStr">
        <is>
          <t>pré-judicial</t>
        </is>
      </c>
      <c r="D23" s="12" t="n">
        <v>1</v>
      </c>
      <c r="E23" s="13" t="inlineStr">
        <is>
          <t>____ (TRT/CSJT/IBGE/BACEN — data: __/__/__)</t>
        </is>
      </c>
    </row>
    <row r="24">
      <c r="B24" s="10" t="n">
        <v>44409</v>
      </c>
      <c r="C24" s="11" t="inlineStr">
        <is>
          <t>pré-judicial</t>
        </is>
      </c>
      <c r="D24" s="12" t="n">
        <v>1</v>
      </c>
      <c r="E24" s="13" t="inlineStr">
        <is>
          <t>____ (TRT/CSJT/IBGE/BACEN — data: __/__/__)</t>
        </is>
      </c>
    </row>
    <row r="25">
      <c r="B25" s="10" t="n">
        <v>44440</v>
      </c>
      <c r="C25" s="11" t="inlineStr">
        <is>
          <t>pré-judicial</t>
        </is>
      </c>
      <c r="D25" s="12" t="n">
        <v>1</v>
      </c>
      <c r="E25" s="13" t="inlineStr">
        <is>
          <t>____ (TRT/CSJT/IBGE/BACEN — data: __/__/__)</t>
        </is>
      </c>
    </row>
    <row r="26">
      <c r="B26" s="10" t="n">
        <v>44470</v>
      </c>
      <c r="C26" s="11" t="inlineStr">
        <is>
          <t>pré-judicial</t>
        </is>
      </c>
      <c r="D26" s="12" t="n">
        <v>1</v>
      </c>
      <c r="E26" s="13" t="inlineStr">
        <is>
          <t>____ (TRT/CSJT/IBGE/BACEN — data: __/__/__)</t>
        </is>
      </c>
    </row>
    <row r="27">
      <c r="B27" s="10" t="n">
        <v>44501</v>
      </c>
      <c r="C27" s="11" t="inlineStr">
        <is>
          <t>pré-judicial</t>
        </is>
      </c>
      <c r="D27" s="12" t="n">
        <v>1</v>
      </c>
      <c r="E27" s="13" t="inlineStr">
        <is>
          <t>____ (TRT/CSJT/IBGE/BACEN — data: __/__/__)</t>
        </is>
      </c>
    </row>
    <row r="28">
      <c r="B28" s="10" t="n">
        <v>44531</v>
      </c>
      <c r="C28" s="11" t="inlineStr">
        <is>
          <t>pré-judicial</t>
        </is>
      </c>
      <c r="D28" s="12" t="n">
        <v>1</v>
      </c>
      <c r="E28" s="13" t="inlineStr">
        <is>
          <t>____ (TRT/CSJT/IBGE/BACEN — data: __/__/__)</t>
        </is>
      </c>
    </row>
    <row r="29">
      <c r="B29" s="10" t="n">
        <v>44562</v>
      </c>
      <c r="C29" s="11" t="inlineStr">
        <is>
          <t>pré-judicial</t>
        </is>
      </c>
      <c r="D29" s="12" t="n">
        <v>1</v>
      </c>
      <c r="E29" s="13" t="inlineStr">
        <is>
          <t>____ (TRT/CSJT/IBGE/BACEN — data: __/__/__)</t>
        </is>
      </c>
    </row>
    <row r="30">
      <c r="B30" s="10" t="n">
        <v>44593</v>
      </c>
      <c r="C30" s="11" t="inlineStr">
        <is>
          <t>pré-judicial</t>
        </is>
      </c>
      <c r="D30" s="12" t="n">
        <v>1</v>
      </c>
      <c r="E30" s="13" t="inlineStr">
        <is>
          <t>____ (TRT/CSJT/IBGE/BACEN — data: __/__/__)</t>
        </is>
      </c>
    </row>
    <row r="31">
      <c r="B31" s="10" t="n">
        <v>44621</v>
      </c>
      <c r="C31" s="11" t="inlineStr">
        <is>
          <t>pré-judicial</t>
        </is>
      </c>
      <c r="D31" s="12" t="n">
        <v>1</v>
      </c>
      <c r="E31" s="13" t="inlineStr">
        <is>
          <t>____ (TRT/CSJT/IBGE/BACEN — data: __/__/__)</t>
        </is>
      </c>
    </row>
    <row r="32">
      <c r="B32" s="10" t="n">
        <v>44652</v>
      </c>
      <c r="C32" s="11" t="inlineStr">
        <is>
          <t>pré-judicial</t>
        </is>
      </c>
      <c r="D32" s="12" t="n">
        <v>1</v>
      </c>
      <c r="E32" s="13" t="inlineStr">
        <is>
          <t>____ (TRT/CSJT/IBGE/BACEN — data: __/__/__)</t>
        </is>
      </c>
    </row>
    <row r="33">
      <c r="B33" s="10" t="n">
        <v>44682</v>
      </c>
      <c r="C33" s="11" t="inlineStr">
        <is>
          <t>pré-judicial</t>
        </is>
      </c>
      <c r="D33" s="12" t="n">
        <v>1</v>
      </c>
      <c r="E33" s="13" t="inlineStr">
        <is>
          <t>____ (TRT/CSJT/IBGE/BACEN — data: __/__/__)</t>
        </is>
      </c>
    </row>
    <row r="34">
      <c r="B34" s="10" t="n">
        <v>44713</v>
      </c>
      <c r="C34" s="11" t="inlineStr">
        <is>
          <t>pré-judicial</t>
        </is>
      </c>
      <c r="D34" s="12" t="n">
        <v>1</v>
      </c>
      <c r="E34" s="13" t="inlineStr">
        <is>
          <t>____ (TRT/CSJT/IBGE/BACEN — data: __/__/__)</t>
        </is>
      </c>
    </row>
    <row r="35">
      <c r="B35" s="10" t="n">
        <v>44743</v>
      </c>
      <c r="C35" s="11" t="inlineStr">
        <is>
          <t>pré-judicial</t>
        </is>
      </c>
      <c r="D35" s="12" t="n">
        <v>1</v>
      </c>
      <c r="E35" s="13" t="inlineStr">
        <is>
          <t>____ (TRT/CSJT/IBGE/BACEN — data: __/__/__)</t>
        </is>
      </c>
    </row>
    <row r="36">
      <c r="B36" s="10" t="n">
        <v>44774</v>
      </c>
      <c r="C36" s="11" t="inlineStr">
        <is>
          <t>pré-judicial</t>
        </is>
      </c>
      <c r="D36" s="12" t="n">
        <v>1</v>
      </c>
      <c r="E36" s="13" t="inlineStr">
        <is>
          <t>____ (TRT/CSJT/IBGE/BACEN — data: __/__/__)</t>
        </is>
      </c>
    </row>
    <row r="37">
      <c r="B37" s="10" t="n">
        <v>44805</v>
      </c>
      <c r="C37" s="11" t="inlineStr">
        <is>
          <t>pré-judicial</t>
        </is>
      </c>
      <c r="D37" s="12" t="n">
        <v>1</v>
      </c>
      <c r="E37" s="13" t="inlineStr">
        <is>
          <t>____ (TRT/CSJT/IBGE/BACEN — data: __/__/__)</t>
        </is>
      </c>
    </row>
    <row r="38">
      <c r="B38" s="10" t="n">
        <v>44835</v>
      </c>
      <c r="C38" s="11" t="inlineStr">
        <is>
          <t>pré-judicial</t>
        </is>
      </c>
      <c r="D38" s="12" t="n">
        <v>1</v>
      </c>
      <c r="E38" s="13" t="inlineStr">
        <is>
          <t>____ (TRT/CSJT/IBGE/BACEN — data: __/__/__)</t>
        </is>
      </c>
    </row>
    <row r="39">
      <c r="B39" s="10" t="n">
        <v>44866</v>
      </c>
      <c r="C39" s="11" t="inlineStr">
        <is>
          <t>pré-judicial</t>
        </is>
      </c>
      <c r="D39" s="12" t="n">
        <v>1</v>
      </c>
      <c r="E39" s="13" t="inlineStr">
        <is>
          <t>____ (TRT/CSJT/IBGE/BACEN — data: __/__/__)</t>
        </is>
      </c>
    </row>
    <row r="40">
      <c r="B40" s="10" t="n">
        <v>44896</v>
      </c>
      <c r="C40" s="11" t="inlineStr">
        <is>
          <t>pré-judicial</t>
        </is>
      </c>
      <c r="D40" s="12" t="n">
        <v>1</v>
      </c>
      <c r="E40" s="13" t="inlineStr">
        <is>
          <t>____ (TRT/CSJT/IBGE/BACEN — data: __/__/__)</t>
        </is>
      </c>
    </row>
    <row r="41">
      <c r="B41" s="10" t="n">
        <v>44927</v>
      </c>
      <c r="C41" s="11" t="inlineStr">
        <is>
          <t>pré-judicial</t>
        </is>
      </c>
      <c r="D41" s="12" t="n">
        <v>1</v>
      </c>
      <c r="E41" s="13" t="inlineStr">
        <is>
          <t>____ (TRT/CSJT/IBGE/BACEN — data: __/__/__)</t>
        </is>
      </c>
    </row>
    <row r="42">
      <c r="B42" s="10" t="n">
        <v>44958</v>
      </c>
      <c r="C42" s="11" t="inlineStr">
        <is>
          <t>pré-judicial</t>
        </is>
      </c>
      <c r="D42" s="12" t="n">
        <v>1</v>
      </c>
      <c r="E42" s="13" t="inlineStr">
        <is>
          <t>____ (TRT/CSJT/IBGE/BACEN — data: __/__/__)</t>
        </is>
      </c>
    </row>
    <row r="43">
      <c r="B43" s="10" t="n">
        <v>44986</v>
      </c>
      <c r="C43" s="11" t="inlineStr">
        <is>
          <t>pré-judicial</t>
        </is>
      </c>
      <c r="D43" s="12" t="n">
        <v>1</v>
      </c>
      <c r="E43" s="13" t="inlineStr">
        <is>
          <t>____ (TRT/CSJT/IBGE/BACEN — data: __/__/__)</t>
        </is>
      </c>
    </row>
    <row r="44">
      <c r="B44" s="10" t="n">
        <v>45017</v>
      </c>
      <c r="C44" s="11" t="inlineStr">
        <is>
          <t>pré-judicial</t>
        </is>
      </c>
      <c r="D44" s="12" t="n">
        <v>1</v>
      </c>
      <c r="E44" s="13" t="inlineStr">
        <is>
          <t>____ (TRT/CSJT/IBGE/BACEN — data: __/__/__)</t>
        </is>
      </c>
    </row>
    <row r="45">
      <c r="B45" s="10" t="n">
        <v>45047</v>
      </c>
      <c r="C45" s="11" t="inlineStr">
        <is>
          <t>pré-judicial</t>
        </is>
      </c>
      <c r="D45" s="12" t="n">
        <v>1</v>
      </c>
      <c r="E45" s="13" t="inlineStr">
        <is>
          <t>____ (TRT/CSJT/IBGE/BACEN — data: __/__/__)</t>
        </is>
      </c>
    </row>
    <row r="46">
      <c r="B46" s="10" t="n">
        <v>45078</v>
      </c>
      <c r="C46" s="11" t="inlineStr">
        <is>
          <t>pré-judicial</t>
        </is>
      </c>
      <c r="D46" s="12" t="n">
        <v>1</v>
      </c>
      <c r="E46" s="13" t="inlineStr">
        <is>
          <t>____ (TRT/CSJT/IBGE/BACEN — data: __/__/__)</t>
        </is>
      </c>
    </row>
    <row r="47">
      <c r="B47" s="10" t="n">
        <v>45108</v>
      </c>
      <c r="C47" s="11" t="inlineStr">
        <is>
          <t>pré-judicial</t>
        </is>
      </c>
      <c r="D47" s="12" t="n">
        <v>1</v>
      </c>
      <c r="E47" s="13" t="inlineStr">
        <is>
          <t>____ (TRT/CSJT/IBGE/BACEN — data: __/__/__)</t>
        </is>
      </c>
    </row>
    <row r="48">
      <c r="B48" s="10" t="n">
        <v>45139</v>
      </c>
      <c r="C48" s="11" t="inlineStr">
        <is>
          <t>pré-judicial</t>
        </is>
      </c>
      <c r="D48" s="12" t="n">
        <v>1</v>
      </c>
      <c r="E48" s="13" t="inlineStr">
        <is>
          <t>____ (TRT/CSJT/IBGE/BACEN — data: __/__/__)</t>
        </is>
      </c>
    </row>
    <row r="49">
      <c r="B49" s="10" t="n">
        <v>45170</v>
      </c>
      <c r="C49" s="11" t="inlineStr">
        <is>
          <t>pré-judicial</t>
        </is>
      </c>
      <c r="D49" s="12" t="n">
        <v>1</v>
      </c>
      <c r="E49" s="13" t="inlineStr">
        <is>
          <t>____ (TRT/CSJT/IBGE/BACEN — data: __/__/__)</t>
        </is>
      </c>
    </row>
    <row r="50">
      <c r="B50" s="10" t="n">
        <v>45200</v>
      </c>
      <c r="C50" s="11" t="inlineStr">
        <is>
          <t>pré-judicial</t>
        </is>
      </c>
      <c r="D50" s="12" t="n">
        <v>1</v>
      </c>
      <c r="E50" s="13" t="inlineStr">
        <is>
          <t>____ (TRT/CSJT/IBGE/BACEN — data: __/__/__)</t>
        </is>
      </c>
    </row>
    <row r="51">
      <c r="B51" s="10" t="n">
        <v>45231</v>
      </c>
      <c r="C51" s="11" t="inlineStr">
        <is>
          <t>pré-judicial</t>
        </is>
      </c>
      <c r="D51" s="12" t="n">
        <v>1</v>
      </c>
      <c r="E51" s="13" t="inlineStr">
        <is>
          <t>____ (TRT/CSJT/IBGE/BACEN — data: __/__/__)</t>
        </is>
      </c>
    </row>
    <row r="52">
      <c r="B52" s="10" t="n">
        <v>45261</v>
      </c>
      <c r="C52" s="11" t="inlineStr">
        <is>
          <t>pré-judicial</t>
        </is>
      </c>
      <c r="D52" s="12" t="n">
        <v>1</v>
      </c>
      <c r="E52" s="13" t="inlineStr">
        <is>
          <t>____ (TRT/CSJT/IBGE/BACEN — data: __/__/__)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6" customWidth="1" min="4" max="4"/>
    <col width="12" customWidth="1" min="5" max="5"/>
    <col width="16" customWidth="1" min="6" max="6"/>
  </cols>
  <sheetData>
    <row r="2" ht="24" customHeight="1">
      <c r="B2" s="7" t="inlineStr">
        <is>
          <t>PARCELAS — VALOR HISTÓRICO → CORRIGIDO POR COMPETÊNCIA</t>
        </is>
      </c>
    </row>
    <row r="4">
      <c r="B4" s="14" t="inlineStr">
        <is>
          <t>Parcela</t>
        </is>
      </c>
      <c r="C4" s="9" t="inlineStr">
        <is>
          <t>Competência</t>
        </is>
      </c>
      <c r="D4" s="9" t="inlineStr">
        <is>
          <t>Valor histórico</t>
        </is>
      </c>
      <c r="E4" s="9" t="inlineStr">
        <is>
          <t>Fator</t>
        </is>
      </c>
      <c r="F4" s="9" t="inlineStr">
        <is>
          <t>Valor corrigido</t>
        </is>
      </c>
    </row>
    <row r="5">
      <c r="B5" s="15" t="inlineStr">
        <is>
          <t>Saldo de salário</t>
        </is>
      </c>
      <c r="C5" s="10" t="n"/>
      <c r="D5" s="16" t="n"/>
      <c r="E5" s="17">
        <f>IF(C5="","",IFERROR(VLOOKUP(C5,Indices!$B$5:$D$52,3,FALSE),"VERIFICAR"))</f>
        <v/>
      </c>
      <c r="F5" s="18">
        <f>IF(OR(D5="",E5="",E5="VERIFICAR"),0,ROUND(D5*E5,2))</f>
        <v/>
      </c>
    </row>
    <row r="6">
      <c r="B6" s="15" t="inlineStr">
        <is>
          <t>13º proporcional</t>
        </is>
      </c>
      <c r="C6" s="10" t="n"/>
      <c r="D6" s="16" t="n"/>
      <c r="E6" s="17">
        <f>IF(C6="","",IFERROR(VLOOKUP(C6,Indices!$B$5:$D$52,3,FALSE),"VERIFICAR"))</f>
        <v/>
      </c>
      <c r="F6" s="18">
        <f>IF(OR(D6="",E6="",E6="VERIFICAR"),0,ROUND(D6*E6,2))</f>
        <v/>
      </c>
    </row>
    <row r="7">
      <c r="B7" s="15" t="inlineStr">
        <is>
          <t>Férias prop. + 1/3</t>
        </is>
      </c>
      <c r="C7" s="10" t="n"/>
      <c r="D7" s="16" t="n"/>
      <c r="E7" s="17">
        <f>IF(C7="","",IFERROR(VLOOKUP(C7,Indices!$B$5:$D$52,3,FALSE),"VERIFICAR"))</f>
        <v/>
      </c>
      <c r="F7" s="18">
        <f>IF(OR(D7="",E7="",E7="VERIFICAR"),0,ROUND(D7*E7,2))</f>
        <v/>
      </c>
    </row>
    <row r="8">
      <c r="B8" s="15" t="inlineStr">
        <is>
          <t>Aviso prévio indenizado</t>
        </is>
      </c>
      <c r="C8" s="10" t="n"/>
      <c r="D8" s="16" t="n"/>
      <c r="E8" s="17">
        <f>IF(C8="","",IFERROR(VLOOKUP(C8,Indices!$B$5:$D$52,3,FALSE),"VERIFICAR"))</f>
        <v/>
      </c>
      <c r="F8" s="18">
        <f>IF(OR(D8="",E8="",E8="VERIFICAR"),0,ROUND(D8*E8,2))</f>
        <v/>
      </c>
    </row>
    <row r="9">
      <c r="B9" s="15" t="inlineStr">
        <is>
          <t>Horas extras + reflexos</t>
        </is>
      </c>
      <c r="C9" s="10" t="n"/>
      <c r="D9" s="16" t="n"/>
      <c r="E9" s="17">
        <f>IF(C9="","",IFERROR(VLOOKUP(C9,Indices!$B$5:$D$52,3,FALSE),"VERIFICAR"))</f>
        <v/>
      </c>
      <c r="F9" s="18">
        <f>IF(OR(D9="",E9="",E9="VERIFICAR"),0,ROUND(D9*E9,2))</f>
        <v/>
      </c>
    </row>
    <row r="10">
      <c r="B10" s="15" t="inlineStr">
        <is>
          <t>Diferenças salariais</t>
        </is>
      </c>
      <c r="C10" s="10" t="n"/>
      <c r="D10" s="16" t="n"/>
      <c r="E10" s="17">
        <f>IF(C10="","",IFERROR(VLOOKUP(C10,Indices!$B$5:$D$52,3,FALSE),"VERIFICAR"))</f>
        <v/>
      </c>
      <c r="F10" s="18">
        <f>IF(OR(D10="",E10="",E10="VERIFICAR"),0,ROUND(D10*E10,2))</f>
        <v/>
      </c>
    </row>
    <row r="11">
      <c r="B11" s="15" t="inlineStr">
        <is>
          <t>(adicione linhas...)</t>
        </is>
      </c>
      <c r="C11" s="10" t="n"/>
      <c r="D11" s="16" t="n"/>
      <c r="E11" s="17">
        <f>IF(C11="","",IFERROR(VLOOKUP(C11,Indices!$B$5:$D$52,3,FALSE),"VERIFICAR"))</f>
        <v/>
      </c>
      <c r="F11" s="18">
        <f>IF(OR(D11="",E11="",E11="VERIFICAR"),0,ROUND(D11*E11,2))</f>
        <v/>
      </c>
    </row>
    <row r="12">
      <c r="B12" s="15" t="inlineStr"/>
      <c r="C12" s="10" t="n"/>
      <c r="D12" s="16" t="n"/>
      <c r="E12" s="17">
        <f>IF(C12="","",IFERROR(VLOOKUP(C12,Indices!$B$5:$D$52,3,FALSE),"VERIFICAR"))</f>
        <v/>
      </c>
      <c r="F12" s="18">
        <f>IF(OR(D12="",E12="",E12="VERIFICAR"),0,ROUND(D12*E12,2))</f>
        <v/>
      </c>
    </row>
    <row r="13">
      <c r="B13" s="15" t="inlineStr"/>
      <c r="C13" s="10" t="n"/>
      <c r="D13" s="16" t="n"/>
      <c r="E13" s="17">
        <f>IF(C13="","",IFERROR(VLOOKUP(C13,Indices!$B$5:$D$52,3,FALSE),"VERIFICAR"))</f>
        <v/>
      </c>
      <c r="F13" s="18">
        <f>IF(OR(D13="",E13="",E13="VERIFICAR"),0,ROUND(D13*E13,2))</f>
        <v/>
      </c>
    </row>
    <row r="14">
      <c r="B14" s="15" t="inlineStr"/>
      <c r="C14" s="10" t="n"/>
      <c r="D14" s="16" t="n"/>
      <c r="E14" s="17">
        <f>IF(C14="","",IFERROR(VLOOKUP(C14,Indices!$B$5:$D$52,3,FALSE),"VERIFICAR"))</f>
        <v/>
      </c>
      <c r="F14" s="18">
        <f>IF(OR(D14="",E14="",E14="VERIFICAR"),0,ROUND(D14*E14,2))</f>
        <v/>
      </c>
    </row>
    <row r="15">
      <c r="B15" s="15" t="inlineStr"/>
      <c r="C15" s="10" t="n"/>
      <c r="D15" s="16" t="n"/>
      <c r="E15" s="17">
        <f>IF(C15="","",IFERROR(VLOOKUP(C15,Indices!$B$5:$D$52,3,FALSE),"VERIFICAR"))</f>
        <v/>
      </c>
      <c r="F15" s="18">
        <f>IF(OR(D15="",E15="",E15="VERIFICAR"),0,ROUND(D15*E15,2))</f>
        <v/>
      </c>
    </row>
    <row r="16">
      <c r="B16" s="15" t="inlineStr"/>
      <c r="C16" s="10" t="n"/>
      <c r="D16" s="16" t="n"/>
      <c r="E16" s="17">
        <f>IF(C16="","",IFERROR(VLOOKUP(C16,Indices!$B$5:$D$52,3,FALSE),"VERIFICAR"))</f>
        <v/>
      </c>
      <c r="F16" s="18">
        <f>IF(OR(D16="",E16="",E16="VERIFICAR"),0,ROUND(D16*E16,2))</f>
        <v/>
      </c>
    </row>
    <row r="17">
      <c r="B17" s="15" t="inlineStr"/>
      <c r="C17" s="10" t="n"/>
      <c r="D17" s="16" t="n"/>
      <c r="E17" s="17">
        <f>IF(C17="","",IFERROR(VLOOKUP(C17,Indices!$B$5:$D$52,3,FALSE),"VERIFICAR"))</f>
        <v/>
      </c>
      <c r="F17" s="18">
        <f>IF(OR(D17="",E17="",E17="VERIFICAR"),0,ROUND(D17*E17,2))</f>
        <v/>
      </c>
    </row>
    <row r="18">
      <c r="B18" s="15" t="inlineStr"/>
      <c r="C18" s="10" t="n"/>
      <c r="D18" s="16" t="n"/>
      <c r="E18" s="17">
        <f>IF(C18="","",IFERROR(VLOOKUP(C18,Indices!$B$5:$D$52,3,FALSE),"VERIFICAR"))</f>
        <v/>
      </c>
      <c r="F18" s="18">
        <f>IF(OR(D18="",E18="",E18="VERIFICAR"),0,ROUND(D18*E18,2))</f>
        <v/>
      </c>
    </row>
    <row r="19">
      <c r="B19" s="15" t="inlineStr"/>
      <c r="C19" s="10" t="n"/>
      <c r="D19" s="16" t="n"/>
      <c r="E19" s="17">
        <f>IF(C19="","",IFERROR(VLOOKUP(C19,Indices!$B$5:$D$52,3,FALSE),"VERIFICAR"))</f>
        <v/>
      </c>
      <c r="F19" s="18">
        <f>IF(OR(D19="",E19="",E19="VERIFICAR"),0,ROUND(D19*E19,2))</f>
        <v/>
      </c>
    </row>
    <row r="20">
      <c r="B20" s="15" t="inlineStr"/>
      <c r="C20" s="10" t="n"/>
      <c r="D20" s="16" t="n"/>
      <c r="E20" s="17">
        <f>IF(C20="","",IFERROR(VLOOKUP(C20,Indices!$B$5:$D$52,3,FALSE),"VERIFICAR"))</f>
        <v/>
      </c>
      <c r="F20" s="18">
        <f>IF(OR(D20="",E20="",E20="VERIFICAR"),0,ROUND(D20*E20,2))</f>
        <v/>
      </c>
    </row>
    <row r="21">
      <c r="B21" s="15" t="inlineStr"/>
      <c r="C21" s="10" t="n"/>
      <c r="D21" s="16" t="n"/>
      <c r="E21" s="17">
        <f>IF(C21="","",IFERROR(VLOOKUP(C21,Indices!$B$5:$D$52,3,FALSE),"VERIFICAR"))</f>
        <v/>
      </c>
      <c r="F21" s="18">
        <f>IF(OR(D21="",E21="",E21="VERIFICAR"),0,ROUND(D21*E21,2))</f>
        <v/>
      </c>
    </row>
    <row r="22">
      <c r="B22" s="15" t="inlineStr"/>
      <c r="C22" s="10" t="n"/>
      <c r="D22" s="16" t="n"/>
      <c r="E22" s="17">
        <f>IF(C22="","",IFERROR(VLOOKUP(C22,Indices!$B$5:$D$52,3,FALSE),"VERIFICAR"))</f>
        <v/>
      </c>
      <c r="F22" s="18">
        <f>IF(OR(D22="",E22="",E22="VERIFICAR"),0,ROUND(D22*E22,2))</f>
        <v/>
      </c>
    </row>
    <row r="23">
      <c r="B23" s="15" t="inlineStr"/>
      <c r="C23" s="10" t="n"/>
      <c r="D23" s="16" t="n"/>
      <c r="E23" s="17">
        <f>IF(C23="","",IFERROR(VLOOKUP(C23,Indices!$B$5:$D$52,3,FALSE),"VERIFICAR"))</f>
        <v/>
      </c>
      <c r="F23" s="18">
        <f>IF(OR(D23="",E23="",E23="VERIFICAR"),0,ROUND(D23*E23,2))</f>
        <v/>
      </c>
    </row>
    <row r="24">
      <c r="B24" s="15" t="inlineStr"/>
      <c r="C24" s="10" t="n"/>
      <c r="D24" s="16" t="n"/>
      <c r="E24" s="17">
        <f>IF(C24="","",IFERROR(VLOOKUP(C24,Indices!$B$5:$D$52,3,FALSE),"VERIFICAR"))</f>
        <v/>
      </c>
      <c r="F24" s="18">
        <f>IF(OR(D24="",E24="",E24="VERIFICAR"),0,ROUND(D24*E24,2))</f>
        <v/>
      </c>
    </row>
    <row r="25">
      <c r="B25" s="15" t="inlineStr"/>
      <c r="C25" s="10" t="n"/>
      <c r="D25" s="16" t="n"/>
      <c r="E25" s="17">
        <f>IF(C25="","",IFERROR(VLOOKUP(C25,Indices!$B$5:$D$52,3,FALSE),"VERIFICAR"))</f>
        <v/>
      </c>
      <c r="F25" s="18">
        <f>IF(OR(D25="",E25="",E25="VERIFICAR"),0,ROUND(D25*E25,2))</f>
        <v/>
      </c>
    </row>
    <row r="26">
      <c r="B26" s="15" t="inlineStr"/>
      <c r="C26" s="10" t="n"/>
      <c r="D26" s="16" t="n"/>
      <c r="E26" s="17">
        <f>IF(C26="","",IFERROR(VLOOKUP(C26,Indices!$B$5:$D$52,3,FALSE),"VERIFICAR"))</f>
        <v/>
      </c>
      <c r="F26" s="18">
        <f>IF(OR(D26="",E26="",E26="VERIFICAR"),0,ROUND(D26*E26,2))</f>
        <v/>
      </c>
    </row>
    <row r="27">
      <c r="B27" s="15" t="inlineStr"/>
      <c r="C27" s="10" t="n"/>
      <c r="D27" s="16" t="n"/>
      <c r="E27" s="17">
        <f>IF(C27="","",IFERROR(VLOOKUP(C27,Indices!$B$5:$D$52,3,FALSE),"VERIFICAR"))</f>
        <v/>
      </c>
      <c r="F27" s="18">
        <f>IF(OR(D27="",E27="",E27="VERIFICAR"),0,ROUND(D27*E27,2))</f>
        <v/>
      </c>
    </row>
    <row r="28">
      <c r="B28" s="15" t="inlineStr"/>
      <c r="C28" s="10" t="n"/>
      <c r="D28" s="16" t="n"/>
      <c r="E28" s="17">
        <f>IF(C28="","",IFERROR(VLOOKUP(C28,Indices!$B$5:$D$52,3,FALSE),"VERIFICAR"))</f>
        <v/>
      </c>
      <c r="F28" s="18">
        <f>IF(OR(D28="",E28="",E28="VERIFICAR"),0,ROUND(D28*E28,2))</f>
        <v/>
      </c>
    </row>
    <row r="29">
      <c r="B29" s="15" t="inlineStr"/>
      <c r="C29" s="10" t="n"/>
      <c r="D29" s="16" t="n"/>
      <c r="E29" s="17">
        <f>IF(C29="","",IFERROR(VLOOKUP(C29,Indices!$B$5:$D$52,3,FALSE),"VERIFICAR"))</f>
        <v/>
      </c>
      <c r="F29" s="18">
        <f>IF(OR(D29="",E29="",E29="VERIFICAR"),0,ROUND(D29*E29,2))</f>
        <v/>
      </c>
    </row>
    <row r="30">
      <c r="B30" s="19" t="inlineStr">
        <is>
          <t>TOTAL HISTÓRICO / CORRIGIDO</t>
        </is>
      </c>
      <c r="C30" s="20" t="n"/>
      <c r="D30" s="21">
        <f>ROUND(SUM(D5:D29),2)</f>
        <v/>
      </c>
      <c r="E30" s="20" t="n"/>
      <c r="F30" s="21">
        <f>ROUND(SUM(F5:F29),2)</f>
        <v/>
      </c>
    </row>
    <row r="31">
      <c r="B31" s="8" t="inlineStr">
        <is>
          <t>Células 'VERIFICAR' = competência sem índice na aba 'Indices': preencha a tabela.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46" customWidth="1" min="4" max="4"/>
  </cols>
  <sheetData>
    <row r="2" ht="24" customHeight="1">
      <c r="B2" s="7" t="inlineStr">
        <is>
          <t>RESUMO DA LIQUIDAÇÃO</t>
        </is>
      </c>
    </row>
    <row r="4">
      <c r="B4" s="22" t="inlineStr">
        <is>
          <t>Total das verbas (corrigido)</t>
        </is>
      </c>
      <c r="C4" s="18">
        <f>Verbas!F30</f>
        <v/>
      </c>
      <c r="D4" s="23" t="inlineStr">
        <is>
          <t>vem da aba 'Verbas' (já por competência)</t>
        </is>
      </c>
    </row>
    <row r="5">
      <c r="B5" s="22" t="inlineStr">
        <is>
          <t>FGTS sobre verbas (8%)</t>
        </is>
      </c>
      <c r="C5" s="18">
        <f>ROUND(C4*0.08,2)</f>
        <v/>
      </c>
      <c r="D5" s="23" t="inlineStr">
        <is>
          <t>conferir incidência verba a verba</t>
        </is>
      </c>
    </row>
    <row r="6">
      <c r="B6" s="22" t="inlineStr">
        <is>
          <t>Saldo FGTS depositado (extrato)</t>
        </is>
      </c>
      <c r="C6" s="16" t="n">
        <v>0</v>
      </c>
      <c r="D6" s="23" t="inlineStr">
        <is>
          <t>base da multa — do extrato</t>
        </is>
      </c>
    </row>
    <row r="7">
      <c r="B7" s="22" t="inlineStr">
        <is>
          <t>Multa de 40% do FGTS</t>
        </is>
      </c>
      <c r="C7" s="18">
        <f>ROUND(C6*0.4,2)</f>
        <v/>
      </c>
      <c r="D7" s="23" t="inlineStr">
        <is>
          <t>se dispensa sem justa causa</t>
        </is>
      </c>
    </row>
    <row r="8">
      <c r="B8" s="22" t="inlineStr">
        <is>
          <t>(-) INSS (apurado)</t>
        </is>
      </c>
      <c r="C8" s="24" t="n">
        <v>0</v>
      </c>
      <c r="D8" s="23" t="inlineStr">
        <is>
          <t>tabela vigente; verba a verba (isenções)</t>
        </is>
      </c>
    </row>
    <row r="9">
      <c r="B9" s="22" t="inlineStr">
        <is>
          <t>(-) IRRF (apurado)</t>
        </is>
      </c>
      <c r="C9" s="24" t="n">
        <v>0</v>
      </c>
      <c r="D9" s="23" t="inlineStr">
        <is>
          <t>tabela RFB 2026; 13º exclusivo; isenções</t>
        </is>
      </c>
    </row>
    <row r="11" ht="22" customHeight="1">
      <c r="B11" s="25" t="inlineStr">
        <is>
          <t>TOTAL GERAL LÍQUIDO</t>
        </is>
      </c>
      <c r="C11" s="26">
        <f>ROUND(C4+C5+C7-C8-C9,2)</f>
        <v/>
      </c>
      <c r="D11" s="27" t="inlineStr">
        <is>
          <t>verbas corrigidas + FGTS + multa − INSS − IRRF</t>
        </is>
      </c>
    </row>
    <row r="13">
      <c r="B13" s="1" t="inlineStr">
        <is>
          <t>CONTROLE DE QUALIDADE</t>
        </is>
      </c>
    </row>
    <row r="14">
      <c r="B14" s="2" t="inlineStr">
        <is>
          <t>[ ] Índices buscados por competência na fonte oficial (data de extração anotada).</t>
        </is>
      </c>
    </row>
    <row r="15">
      <c r="B15" s="2" t="inlineStr">
        <is>
          <t>[ ] Critério conforme a decisão liquidanda e a fase (pré-judicial/ajuizamento).</t>
        </is>
      </c>
    </row>
    <row r="16">
      <c r="B16" s="2" t="inlineStr">
        <is>
          <t>[ ] Sem cumular SELIC com outro índice/juros no período aplicável.</t>
        </is>
      </c>
    </row>
    <row r="17">
      <c r="B17" s="2" t="inlineStr">
        <is>
          <t>[ ] Isenções de INSS/IR observadas verba a verba; 13º em separado.</t>
        </is>
      </c>
    </row>
    <row r="18">
      <c r="B18" s="2" t="inlineStr">
        <is>
          <t>[ ] Reconferência por método independente.</t>
        </is>
      </c>
    </row>
    <row r="19">
      <c r="B19" s="2" t="inlineStr">
        <is>
          <t>[ ] Premissas e fontes na aba 'Memoria'.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4" customWidth="1" min="3" max="3"/>
    <col width="32" customWidth="1" min="4" max="4"/>
  </cols>
  <sheetData>
    <row r="2" ht="24" customHeight="1">
      <c r="B2" s="7" t="inlineStr">
        <is>
          <t>MEMÓRIA / PREMISSAS E FONTES</t>
        </is>
      </c>
    </row>
    <row r="4">
      <c r="B4" s="14" t="inlineStr">
        <is>
          <t>Premissa</t>
        </is>
      </c>
      <c r="C4" s="14" t="inlineStr">
        <is>
          <t>Critério adotado</t>
        </is>
      </c>
      <c r="D4" s="14" t="inlineStr">
        <is>
          <t>Fonte / fls. / data</t>
        </is>
      </c>
    </row>
    <row r="5">
      <c r="B5" s="22" t="inlineStr">
        <is>
          <t>Decisão liquidanda (parâmetros)</t>
        </is>
      </c>
      <c r="C5" s="15" t="inlineStr">
        <is>
          <t>____________________</t>
        </is>
      </c>
      <c r="D5" s="15" t="inlineStr">
        <is>
          <t>____________________</t>
        </is>
      </c>
    </row>
    <row r="6">
      <c r="B6" s="22" t="inlineStr">
        <is>
          <t>Período/competências das parcelas</t>
        </is>
      </c>
      <c r="C6" s="15" t="inlineStr">
        <is>
          <t>____________________</t>
        </is>
      </c>
      <c r="D6" s="15" t="inlineStr">
        <is>
          <t>____________________</t>
        </is>
      </c>
    </row>
    <row r="7">
      <c r="B7" s="22" t="inlineStr">
        <is>
          <t>Data-base do cálculo</t>
        </is>
      </c>
      <c r="C7" s="15" t="inlineStr">
        <is>
          <t>____________________</t>
        </is>
      </c>
      <c r="D7" s="15" t="inlineStr">
        <is>
          <t>____________________</t>
        </is>
      </c>
    </row>
    <row r="8">
      <c r="B8" s="22" t="inlineStr">
        <is>
          <t>Critério de correção (fase)</t>
        </is>
      </c>
      <c r="C8" s="15" t="inlineStr">
        <is>
          <t>____________________</t>
        </is>
      </c>
      <c r="D8" s="15" t="inlineStr">
        <is>
          <t>____________________</t>
        </is>
      </c>
    </row>
    <row r="9">
      <c r="B9" s="22" t="inlineStr">
        <is>
          <t>Critério de juros</t>
        </is>
      </c>
      <c r="C9" s="15" t="inlineStr">
        <is>
          <t>____________________</t>
        </is>
      </c>
      <c r="D9" s="15" t="inlineStr">
        <is>
          <t>____________________</t>
        </is>
      </c>
    </row>
    <row r="10">
      <c r="B10" s="22" t="inlineStr">
        <is>
          <t>Tabela de índices (origem)</t>
        </is>
      </c>
      <c r="C10" s="15" t="inlineStr">
        <is>
          <t>____________________</t>
        </is>
      </c>
      <c r="D10" s="15" t="inlineStr">
        <is>
          <t>____________________</t>
        </is>
      </c>
    </row>
    <row r="11">
      <c r="B11" s="22" t="inlineStr">
        <is>
          <t>Data de extração dos índices</t>
        </is>
      </c>
      <c r="C11" s="15" t="inlineStr">
        <is>
          <t>____________________</t>
        </is>
      </c>
      <c r="D11" s="15" t="inlineStr">
        <is>
          <t>____________________</t>
        </is>
      </c>
    </row>
    <row r="12">
      <c r="B12" s="22" t="inlineStr">
        <is>
          <t>INSS (incidências/isenções)</t>
        </is>
      </c>
      <c r="C12" s="15" t="inlineStr">
        <is>
          <t>____________________</t>
        </is>
      </c>
      <c r="D12" s="15" t="inlineStr">
        <is>
          <t>____________________</t>
        </is>
      </c>
    </row>
    <row r="13">
      <c r="B13" s="22" t="inlineStr">
        <is>
          <t>IRRF (incidências/isenções)</t>
        </is>
      </c>
      <c r="C13" s="15" t="inlineStr">
        <is>
          <t>____________________</t>
        </is>
      </c>
      <c r="D13" s="15" t="inlineStr">
        <is>
          <t>____________________</t>
        </is>
      </c>
    </row>
    <row r="14">
      <c r="B14" s="22" t="inlineStr">
        <is>
          <t>Outras ressalvas</t>
        </is>
      </c>
      <c r="C14" s="15" t="inlineStr">
        <is>
          <t>____________________</t>
        </is>
      </c>
      <c r="D14" s="15" t="inlineStr">
        <is>
          <t>____________________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2026-06-03T16:14:23Z</dcterms:created>
  <dcterms:modified xsi:type="dcterms:W3CDTF">2026-06-03T16:14:23Z</dcterms:modified>
</cp:coreProperties>
</file>